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ay schedule" sheetId="2" state="visible" r:id="rId2"/>
    <sheet xmlns:r="http://schemas.openxmlformats.org/officeDocument/2006/relationships" name="ACP take-off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0F1215"/>
      <sz val="18"/>
    </font>
    <font>
      <name val="Montserrat"/>
      <b val="1"/>
      <color rgb="000F1215"/>
      <sz val="12"/>
    </font>
    <font>
      <name val="Montserrat"/>
      <color rgb="007B818B"/>
      <sz val="9"/>
    </font>
    <font>
      <name val="Montserrat"/>
      <b val="1"/>
      <color rgb="00FFFFFF"/>
      <sz val="10"/>
    </font>
    <font>
      <name val="Montserrat"/>
      <b val="1"/>
      <color rgb="00E3131B"/>
      <sz val="10"/>
    </font>
    <font>
      <name val="Montserrat"/>
      <sz val="10"/>
    </font>
    <font>
      <name val="Montserrat"/>
      <b val="1"/>
      <sz val="10"/>
    </font>
    <font>
      <name val="Montserrat"/>
      <b val="1"/>
      <color rgb="00E3131B"/>
      <sz val="11"/>
    </font>
    <font>
      <name val="Montserrat"/>
      <i val="1"/>
      <color rgb="007B818B"/>
      <sz val="9"/>
    </font>
  </fonts>
  <fills count="5">
    <fill>
      <patternFill/>
    </fill>
    <fill>
      <patternFill patternType="gray125"/>
    </fill>
    <fill>
      <patternFill patternType="solid">
        <fgColor rgb="000F1215"/>
      </patternFill>
    </fill>
    <fill>
      <patternFill patternType="solid">
        <fgColor rgb="00ECEFF2"/>
      </patternFill>
    </fill>
    <fill>
      <patternFill patternType="solid">
        <fgColor rgb="00FFF6CF"/>
      </patternFill>
    </fill>
  </fills>
  <borders count="2">
    <border>
      <left/>
      <right/>
      <top/>
      <bottom/>
      <diagonal/>
    </border>
    <border>
      <left style="thin">
        <color rgb="00C9CCD1"/>
      </left>
      <right style="thin">
        <color rgb="00C9CCD1"/>
      </right>
      <top style="thin">
        <color rgb="00C9CCD1"/>
      </top>
      <bottom style="thin">
        <color rgb="00C9CCD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left" vertical="top" wrapText="1"/>
    </xf>
    <xf numFmtId="4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4" fontId="7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4" fontId="3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6" fillId="0" borderId="1" pivotButton="0" quotePrefix="0" xfId="0"/>
    <xf numFmtId="2" fontId="6" fillId="0" borderId="1" pivotButton="0" quotePrefix="0" xfId="0"/>
    <xf numFmtId="2" fontId="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52" customWidth="1" min="4" max="4"/>
    <col width="8" customWidth="1" min="5" max="5"/>
    <col width="8" customWidth="1" min="6" max="6"/>
    <col width="13" customWidth="1" min="7" max="7"/>
    <col width="15" customWidth="1" min="8" max="8"/>
    <col width="52" customWidth="1" min="9" max="9"/>
  </cols>
  <sheetData>
    <row r="1">
      <c r="A1" s="1" t="inlineStr">
        <is>
          <t>ArtViSiON</t>
        </is>
      </c>
    </row>
    <row r="2">
      <c r="A2" s="2" t="inlineStr">
        <is>
          <t>Display counter: Bill of Quantities</t>
        </is>
      </c>
    </row>
    <row r="3">
      <c r="A3" s="3" t="inlineStr">
        <is>
          <t>Concept v1 · 01-Oct-2026  ·  2400 × 650 × 1000 mm, tower to 2000 mm  ·  yellow cells are for your rates  ·  quantities are indicative</t>
        </is>
      </c>
    </row>
    <row r="5" ht="26" customHeight="1">
      <c r="A5" s="4" t="inlineStr">
        <is>
          <t>Sr</t>
        </is>
      </c>
      <c r="B5" s="5" t="inlineStr">
        <is>
          <t>Code</t>
        </is>
      </c>
      <c r="C5" s="5" t="inlineStr">
        <is>
          <t>Item</t>
        </is>
      </c>
      <c r="D5" s="5" t="inlineStr">
        <is>
          <t>Specification / size</t>
        </is>
      </c>
      <c r="E5" s="4" t="inlineStr">
        <is>
          <t>Unit</t>
        </is>
      </c>
      <c r="F5" s="4" t="inlineStr">
        <is>
          <t>Qty</t>
        </is>
      </c>
      <c r="G5" s="4" t="inlineStr">
        <is>
          <t>Rate (₹)</t>
        </is>
      </c>
      <c r="H5" s="4" t="inlineStr">
        <is>
          <t>Amount (₹)</t>
        </is>
      </c>
      <c r="I5" s="5" t="inlineStr">
        <is>
          <t>Remarks</t>
        </is>
      </c>
    </row>
    <row r="6">
      <c r="A6" s="6" t="inlineStr">
        <is>
          <t>STRUCTURE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8" t="n">
        <v>1</v>
      </c>
      <c r="B7" s="9" t="inlineStr">
        <is>
          <t>S1</t>
        </is>
      </c>
      <c r="C7" s="10" t="inlineStr">
        <is>
          <t>Plinth frame</t>
        </is>
      </c>
      <c r="D7" s="9" t="inlineStr">
        <is>
          <t>2300 × 550 × 100  ·  MS square tube 40×40×2, welded · graphite powder-coat</t>
        </is>
      </c>
      <c r="E7" s="8" t="inlineStr">
        <is>
          <t>nos</t>
        </is>
      </c>
      <c r="F7" s="8" t="n">
        <v>1</v>
      </c>
      <c r="G7" s="11" t="n"/>
      <c r="H7" s="12">
        <f>F7*G7</f>
        <v/>
      </c>
      <c r="I7" s="9" t="inlineStr">
        <is>
          <t>6 levelling feet M10 (±15 mm); recessed 50 mm all round</t>
        </is>
      </c>
    </row>
    <row r="8">
      <c r="A8" s="8" t="n">
        <v>2</v>
      </c>
      <c r="B8" s="9" t="inlineStr">
        <is>
          <t>S2</t>
        </is>
      </c>
      <c r="C8" s="10" t="inlineStr">
        <is>
          <t>Lower cabinet carcass</t>
        </is>
      </c>
      <c r="D8" s="9" t="inlineStr">
        <is>
          <t>2360 × 620 × 300  ·  18 mm BWP / MR plywood</t>
        </is>
      </c>
      <c r="E8" s="8" t="inlineStr">
        <is>
          <t>nos</t>
        </is>
      </c>
      <c r="F8" s="8" t="n">
        <v>1</v>
      </c>
      <c r="G8" s="11" t="n"/>
      <c r="H8" s="12">
        <f>F8*G8</f>
        <v/>
      </c>
      <c r="I8" s="9" t="inlineStr">
        <is>
          <t>Label back-boxes, cable run and LED-driver bay inside</t>
        </is>
      </c>
    </row>
    <row r="9">
      <c r="A9" s="8" t="n">
        <v>3</v>
      </c>
      <c r="B9" s="9" t="inlineStr">
        <is>
          <t>S3</t>
        </is>
      </c>
      <c r="C9" s="10" t="inlineStr">
        <is>
          <t>Body end panel</t>
        </is>
      </c>
      <c r="D9" s="9" t="inlineStr">
        <is>
          <t>650 × 840  ·  18 mm ply core · matte white ACP both faces</t>
        </is>
      </c>
      <c r="E9" s="8" t="inlineStr">
        <is>
          <t>nos</t>
        </is>
      </c>
      <c r="F9" s="8" t="n">
        <v>2</v>
      </c>
      <c r="G9" s="11" t="n"/>
      <c r="H9" s="12">
        <f>F9*G9</f>
        <v/>
      </c>
      <c r="I9" s="9" t="inlineStr">
        <is>
          <t>Left and right ends</t>
        </is>
      </c>
    </row>
    <row r="10">
      <c r="A10" s="8" t="n">
        <v>4</v>
      </c>
      <c r="B10" s="9" t="inlineStr">
        <is>
          <t>S4</t>
        </is>
      </c>
      <c r="C10" s="10" t="inlineStr">
        <is>
          <t>Bay divider</t>
        </is>
      </c>
      <c r="D10" s="9" t="inlineStr">
        <is>
          <t>650 × 840 × 20  ·  18 mm ply core · brushed silver ACP both faces</t>
        </is>
      </c>
      <c r="E10" s="8" t="inlineStr">
        <is>
          <t>nos</t>
        </is>
      </c>
      <c r="F10" s="8" t="n">
        <v>4</v>
      </c>
      <c r="G10" s="11" t="n"/>
      <c r="H10" s="12">
        <f>F10*G10</f>
        <v/>
      </c>
      <c r="I10" s="9" t="inlineStr">
        <is>
          <t>Doubles as the vitrine side walls</t>
        </is>
      </c>
    </row>
    <row r="11">
      <c r="A11" s="8" t="n">
        <v>5</v>
      </c>
      <c r="B11" s="9" t="inlineStr">
        <is>
          <t>S5</t>
        </is>
      </c>
      <c r="C11" s="10" t="inlineStr">
        <is>
          <t>Vitrine floor deck</t>
        </is>
      </c>
      <c r="D11" s="9" t="inlineStr">
        <is>
          <t>440 / 520 × 450  ·  18 mm ply · matte white ACP on top</t>
        </is>
      </c>
      <c r="E11" s="8" t="inlineStr">
        <is>
          <t>nos</t>
        </is>
      </c>
      <c r="F11" s="8" t="n">
        <v>5</v>
      </c>
      <c r="G11" s="11" t="n"/>
      <c r="H11" s="12">
        <f>F11*G11</f>
        <v/>
      </c>
      <c r="I11" s="9" t="inlineStr">
        <is>
          <t>Finished height y = 400 mm</t>
        </is>
      </c>
    </row>
    <row r="12">
      <c r="A12" s="8" t="n">
        <v>6</v>
      </c>
      <c r="B12" s="9" t="inlineStr">
        <is>
          <t>S6</t>
        </is>
      </c>
      <c r="C12" s="10" t="inlineStr">
        <is>
          <t>Vitrine back panel</t>
        </is>
      </c>
      <c r="D12" s="9" t="inlineStr">
        <is>
          <t>440 / 520 × 530  ·  12 mm ply · matte white ACP on the front face</t>
        </is>
      </c>
      <c r="E12" s="8" t="inlineStr">
        <is>
          <t>nos</t>
        </is>
      </c>
      <c r="F12" s="8" t="n">
        <v>5</v>
      </c>
      <c r="G12" s="11" t="n"/>
      <c r="H12" s="12">
        <f>F12*G12</f>
        <v/>
      </c>
      <c r="I12" s="9" t="inlineStr">
        <is>
          <t>Separates display from the staff-side storage</t>
        </is>
      </c>
    </row>
    <row r="13">
      <c r="A13" s="8" t="n">
        <v>7</v>
      </c>
      <c r="B13" s="9" t="inlineStr">
        <is>
          <t>S7</t>
        </is>
      </c>
      <c r="C13" s="10" t="inlineStr">
        <is>
          <t>Rear door (staff side)</t>
        </is>
      </c>
      <c r="D13" s="9" t="inlineStr">
        <is>
          <t>432 / 512 × 800  ·  18 mm ply · matte white ACP</t>
        </is>
      </c>
      <c r="E13" s="8" t="inlineStr">
        <is>
          <t>nos</t>
        </is>
      </c>
      <c r="F13" s="8" t="n">
        <v>5</v>
      </c>
      <c r="G13" s="11" t="n"/>
      <c r="H13" s="12">
        <f>F13*G13</f>
        <v/>
      </c>
      <c r="I13" s="9" t="inlineStr">
        <is>
          <t>2 hinges + cylinder lock (keyed alike); flush silver pull</t>
        </is>
      </c>
    </row>
    <row r="14">
      <c r="A14" s="8" t="n">
        <v>8</v>
      </c>
      <c r="B14" s="9" t="inlineStr">
        <is>
          <t>S8</t>
        </is>
      </c>
      <c r="C14" s="10" t="inlineStr">
        <is>
          <t>Top slab</t>
        </is>
      </c>
      <c r="D14" s="9" t="inlineStr">
        <is>
          <t>2440 × 690 × 60  ·  25 mm ply core · white ACP top and edges · silver ACP under-band</t>
        </is>
      </c>
      <c r="E14" s="8" t="inlineStr">
        <is>
          <t>nos</t>
        </is>
      </c>
      <c r="F14" s="8" t="n">
        <v>1</v>
      </c>
      <c r="G14" s="11" t="n"/>
      <c r="H14" s="12">
        <f>F14*G14</f>
        <v/>
      </c>
      <c r="I14" s="9" t="inlineStr">
        <is>
          <t>20 mm overhang all round; houses the vitrine LED ceilings</t>
        </is>
      </c>
    </row>
    <row r="15">
      <c r="A15" s="8" t="n">
        <v>9</v>
      </c>
      <c r="B15" s="9" t="inlineStr">
        <is>
          <t>S9</t>
        </is>
      </c>
      <c r="C15" s="10" t="inlineStr">
        <is>
          <t>Tower frame</t>
        </is>
      </c>
      <c r="D15" s="9" t="inlineStr">
        <is>
          <t>520 × 250 × 1000  ·  MS box 25×25×1.6, welded · bolted through the top slab</t>
        </is>
      </c>
      <c r="E15" s="8" t="inlineStr">
        <is>
          <t>nos</t>
        </is>
      </c>
      <c r="F15" s="8" t="n">
        <v>1</v>
      </c>
      <c r="G15" s="11" t="n"/>
      <c r="H15" s="12">
        <f>F15*G15</f>
        <v/>
      </c>
      <c r="I15" s="9" t="inlineStr">
        <is>
          <t>Display on VESA plate (per model); vent slots at the back</t>
        </is>
      </c>
    </row>
    <row r="16">
      <c r="A16" s="8" t="n">
        <v>10</v>
      </c>
      <c r="B16" s="9" t="inlineStr">
        <is>
          <t>S10</t>
        </is>
      </c>
      <c r="C16" s="10" t="inlineStr">
        <is>
          <t>Tower cladding set</t>
        </is>
      </c>
      <c r="D16" s="9" t="inlineStr">
        <is>
          <t>logo plate 520×190 · column 520×740 · cap 520×70  ·  White ACP (plate, cap) · brushed silver ACP (column)</t>
        </is>
      </c>
      <c r="E16" s="8" t="inlineStr">
        <is>
          <t>set</t>
        </is>
      </c>
      <c r="F16" s="8" t="n">
        <v>1</v>
      </c>
      <c r="G16" s="11" t="n"/>
      <c r="H16" s="12">
        <f>F16*G16</f>
        <v/>
      </c>
      <c r="I16" s="9" t="inlineStr">
        <is>
          <t>Bezel frame 430 × 740 in black powder-coat</t>
        </is>
      </c>
    </row>
    <row r="17">
      <c r="A17" s="6" t="inlineStr">
        <is>
          <t>GLASS &amp; ACRYLIC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>
        <v>11</v>
      </c>
      <c r="B18" s="9" t="inlineStr">
        <is>
          <t>G1</t>
        </is>
      </c>
      <c r="C18" s="10" t="inlineStr">
        <is>
          <t>Bay glass front</t>
        </is>
      </c>
      <c r="D18" s="9" t="inlineStr">
        <is>
          <t>440 / 520 × 530 × 8  ·  8 mm toughened clear glass, polished edges</t>
        </is>
      </c>
      <c r="E18" s="8" t="inlineStr">
        <is>
          <t>nos</t>
        </is>
      </c>
      <c r="F18" s="8" t="n">
        <v>5</v>
      </c>
      <c r="G18" s="11" t="n"/>
      <c r="H18" s="12">
        <f>F18*G18</f>
        <v/>
      </c>
      <c r="I18" s="9" t="inlineStr">
        <is>
          <t>Sits in aluminium U-channel, silicone-set</t>
        </is>
      </c>
    </row>
    <row r="19">
      <c r="A19" s="8" t="n">
        <v>12</v>
      </c>
      <c r="B19" s="9" t="inlineStr">
        <is>
          <t>G2</t>
        </is>
      </c>
      <c r="C19" s="10" t="inlineStr">
        <is>
          <t>Glass channel (top + bottom)</t>
        </is>
      </c>
      <c r="D19" s="9" t="inlineStr">
        <is>
          <t>440 / 520 × 12  ·  Aluminium U-channel, silver anodised</t>
        </is>
      </c>
      <c r="E19" s="8" t="inlineStr">
        <is>
          <t>nos</t>
        </is>
      </c>
      <c r="F19" s="8" t="n">
        <v>10</v>
      </c>
      <c r="G19" s="11" t="n"/>
      <c r="H19" s="12">
        <f>F19*G19</f>
        <v/>
      </c>
      <c r="I19" s="9" t="inlineStr"/>
    </row>
    <row r="20">
      <c r="A20" s="8" t="n">
        <v>13</v>
      </c>
      <c r="B20" s="9" t="inlineStr">
        <is>
          <t>G3</t>
        </is>
      </c>
      <c r="C20" s="10" t="inlineStr">
        <is>
          <t>Backlit label panel</t>
        </is>
      </c>
      <c r="D20" s="9" t="inlineStr">
        <is>
          <t>436 / 516 × 290 × 12  ·  5 mm opal acrylic · backlit film print · white ACP tray</t>
        </is>
      </c>
      <c r="E20" s="8" t="inlineStr">
        <is>
          <t>nos</t>
        </is>
      </c>
      <c r="F20" s="8" t="n">
        <v>5</v>
      </c>
      <c r="G20" s="11" t="n"/>
      <c r="H20" s="12">
        <f>F20*G20</f>
        <v/>
      </c>
      <c r="I20" s="9" t="inlineStr">
        <is>
          <t>Division name, bay letter, press-button hint</t>
        </is>
      </c>
    </row>
    <row r="21">
      <c r="A21" s="8" t="n">
        <v>14</v>
      </c>
      <c r="B21" s="9" t="inlineStr">
        <is>
          <t>G4</t>
        </is>
      </c>
      <c r="C21" s="10" t="inlineStr">
        <is>
          <t>Logo plate face</t>
        </is>
      </c>
      <c r="D21" s="9" t="inlineStr">
        <is>
          <t>500 × 173  ·  5 mm opal acrylic · backlit print</t>
        </is>
      </c>
      <c r="E21" s="8" t="inlineStr">
        <is>
          <t>nos</t>
        </is>
      </c>
      <c r="F21" s="8" t="n">
        <v>1</v>
      </c>
      <c r="G21" s="11" t="n"/>
      <c r="H21" s="12">
        <f>F21*G21</f>
        <v/>
      </c>
      <c r="I21" s="9" t="inlineStr">
        <is>
          <t>ArtViSiON lock-up</t>
        </is>
      </c>
    </row>
    <row r="22">
      <c r="A22" s="6" t="inlineStr">
        <is>
          <t>ELECTRICAL &amp; DIGITAL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8" t="n">
        <v>15</v>
      </c>
      <c r="B23" s="9" t="inlineStr">
        <is>
          <t>E1</t>
        </is>
      </c>
      <c r="C23" s="10" t="inlineStr">
        <is>
          <t>Touch display</t>
        </is>
      </c>
      <c r="D23" s="9" t="inlineStr">
        <is>
          <t>32" portrait · outline ≈ 430 × 740  ·  Commercial 1080×1920, PCAP touch, 350 nit+</t>
        </is>
      </c>
      <c r="E23" s="8" t="inlineStr">
        <is>
          <t>nos</t>
        </is>
      </c>
      <c r="F23" s="8" t="n">
        <v>1</v>
      </c>
      <c r="G23" s="11" t="n"/>
      <c r="H23" s="12">
        <f>F23*G23</f>
        <v/>
      </c>
      <c r="I23" s="9" t="inlineStr">
        <is>
          <t>Model to be confirmed, cut-outs follow the real outline</t>
        </is>
      </c>
    </row>
    <row r="24">
      <c r="A24" s="8" t="n">
        <v>16</v>
      </c>
      <c r="B24" s="9" t="inlineStr">
        <is>
          <t>E2</t>
        </is>
      </c>
      <c r="C24" s="10" t="inlineStr">
        <is>
          <t>Mini PC (kiosk player)</t>
        </is>
      </c>
      <c r="D24" s="9" t="inlineStr">
        <is>
          <t>compact  ·  Fanless, Windows or ChromeOS, 4 GB+, HDMI + USB</t>
        </is>
      </c>
      <c r="E24" s="8" t="inlineStr">
        <is>
          <t>nos</t>
        </is>
      </c>
      <c r="F24" s="8" t="n">
        <v>1</v>
      </c>
      <c r="G24" s="11" t="n"/>
      <c r="H24" s="12">
        <f>F24*G24</f>
        <v/>
      </c>
      <c r="I24" s="9" t="inlineStr">
        <is>
          <t>Mounted in the tower; runs kiosk.html in Chrome kiosk mode</t>
        </is>
      </c>
    </row>
    <row r="25">
      <c r="A25" s="8" t="n">
        <v>17</v>
      </c>
      <c r="B25" s="9" t="inlineStr">
        <is>
          <t>E3</t>
        </is>
      </c>
      <c r="C25" s="10" t="inlineStr">
        <is>
          <t>Phygital push-button</t>
        </is>
      </c>
      <c r="D25" s="9" t="inlineStr">
        <is>
          <t>Ø 30 (hole Ø 25)  ·  Illuminated momentary switch, red LED</t>
        </is>
      </c>
      <c r="E25" s="8" t="inlineStr">
        <is>
          <t>nos</t>
        </is>
      </c>
      <c r="F25" s="8" t="n">
        <v>5</v>
      </c>
      <c r="G25" s="11" t="n"/>
      <c r="H25" s="12">
        <f>F25*G25</f>
        <v/>
      </c>
      <c r="I25" s="9" t="inlineStr">
        <is>
          <t>At bay centre + 170 mm, y = 330; sends keys 1-5</t>
        </is>
      </c>
    </row>
    <row r="26">
      <c r="A26" s="8" t="n">
        <v>18</v>
      </c>
      <c r="B26" s="9" t="inlineStr">
        <is>
          <t>E4</t>
        </is>
      </c>
      <c r="C26" s="10" t="inlineStr">
        <is>
          <t>USB HID encoder</t>
        </is>
      </c>
      <c r="D26" s="9" t="inlineStr">
        <is>
          <t>board  ·  5-input USB keyboard encoder</t>
        </is>
      </c>
      <c r="E26" s="8" t="inlineStr">
        <is>
          <t>nos</t>
        </is>
      </c>
      <c r="F26" s="8" t="n">
        <v>1</v>
      </c>
      <c r="G26" s="11" t="n"/>
      <c r="H26" s="12">
        <f>F26*G26</f>
        <v/>
      </c>
      <c r="I26" s="9" t="inlineStr">
        <is>
          <t>In the tower; maps buttons to keys 1 … 5</t>
        </is>
      </c>
    </row>
    <row r="27">
      <c r="A27" s="8" t="n">
        <v>19</v>
      </c>
      <c r="B27" s="9" t="inlineStr">
        <is>
          <t>E5</t>
        </is>
      </c>
      <c r="C27" s="10" t="inlineStr">
        <is>
          <t>LED strip 4000 K, CRI 90+</t>
        </is>
      </c>
      <c r="D27" s="9" t="inlineStr">
        <is>
          <t>metres (incl. spare)  ·  24 V, about 6 W/m, aluminium profile + opal diffuser</t>
        </is>
      </c>
      <c r="E27" s="8" t="inlineStr">
        <is>
          <t>m</t>
        </is>
      </c>
      <c r="F27" s="8" t="n">
        <v>18</v>
      </c>
      <c r="G27" s="11" t="n"/>
      <c r="H27" s="12">
        <f>F27*G27</f>
        <v/>
      </c>
      <c r="I27" s="9" t="inlineStr">
        <is>
          <t>Vitrine ceilings, label back-lights, plinth glow, tower halo</t>
        </is>
      </c>
    </row>
    <row r="28">
      <c r="A28" s="8" t="n">
        <v>20</v>
      </c>
      <c r="B28" s="9" t="inlineStr">
        <is>
          <t>E6</t>
        </is>
      </c>
      <c r="C28" s="10" t="inlineStr">
        <is>
          <t>LED driver 24 V / 100 W</t>
        </is>
      </c>
      <c r="D28" s="9" t="inlineStr">
        <is>
          <t>unit  ·  Constant-voltage, 0-10 V or timer dimmable</t>
        </is>
      </c>
      <c r="E28" s="8" t="inlineStr">
        <is>
          <t>nos</t>
        </is>
      </c>
      <c r="F28" s="8" t="n">
        <v>2</v>
      </c>
      <c r="G28" s="11" t="n"/>
      <c r="H28" s="12">
        <f>F28*G28</f>
        <v/>
      </c>
      <c r="I28" s="9" t="inlineStr">
        <is>
          <t>Left rear storage, ventilated</t>
        </is>
      </c>
    </row>
    <row r="29">
      <c r="A29" s="8" t="n">
        <v>21</v>
      </c>
      <c r="B29" s="9" t="inlineStr">
        <is>
          <t>E7</t>
        </is>
      </c>
      <c r="C29" s="10" t="inlineStr">
        <is>
          <t>Power distribution</t>
        </is>
      </c>
      <c r="D29" s="9" t="inlineStr">
        <is>
          <t>set  ·  6 A MCB, earthed socket strip, cable glands</t>
        </is>
      </c>
      <c r="E29" s="8" t="inlineStr">
        <is>
          <t>set</t>
        </is>
      </c>
      <c r="F29" s="8" t="n">
        <v>1</v>
      </c>
      <c r="G29" s="11" t="n"/>
      <c r="H29" s="12">
        <f>F29*G29</f>
        <v/>
      </c>
      <c r="I29" s="9" t="inlineStr">
        <is>
          <t>Single 230 V inlet, rear-left of the plinth</t>
        </is>
      </c>
    </row>
    <row r="30">
      <c r="A30" s="6" t="inlineStr">
        <is>
          <t>ACCESSORIES (OPTIONAL)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8" t="n">
        <v>22</v>
      </c>
      <c r="B31" s="9" t="inlineStr">
        <is>
          <t>A1</t>
        </is>
      </c>
      <c r="C31" s="10" t="inlineStr">
        <is>
          <t>QR standee</t>
        </is>
      </c>
      <c r="D31" s="9" t="inlineStr">
        <is>
          <t>110 × 155  ·  Acrylic + print (WhatsApp QR)</t>
        </is>
      </c>
      <c r="E31" s="8" t="inlineStr">
        <is>
          <t>nos</t>
        </is>
      </c>
      <c r="F31" s="8" t="n">
        <v>1</v>
      </c>
      <c r="G31" s="11" t="n"/>
      <c r="H31" s="12">
        <f>F31*G31</f>
        <v/>
      </c>
      <c r="I31" s="9" t="inlineStr">
        <is>
          <t>Counter top, left</t>
        </is>
      </c>
    </row>
    <row r="32">
      <c r="A32" s="8" t="n">
        <v>23</v>
      </c>
      <c r="B32" s="9" t="inlineStr">
        <is>
          <t>A2</t>
        </is>
      </c>
      <c r="C32" s="10" t="inlineStr">
        <is>
          <t>Card holder + brochure stand</t>
        </is>
      </c>
      <c r="D32" s="9" t="inlineStr">
        <is>
          <t>set  ·  Acrylic / aluminium</t>
        </is>
      </c>
      <c r="E32" s="8" t="inlineStr">
        <is>
          <t>set</t>
        </is>
      </c>
      <c r="F32" s="8" t="n">
        <v>1</v>
      </c>
      <c r="G32" s="11" t="n"/>
      <c r="H32" s="12">
        <f>F32*G32</f>
        <v/>
      </c>
      <c r="I32" s="9" t="inlineStr">
        <is>
          <t>Counter top</t>
        </is>
      </c>
    </row>
    <row r="33">
      <c r="A33" s="8" t="n">
        <v>24</v>
      </c>
      <c r="B33" s="9" t="inlineStr">
        <is>
          <t>A3</t>
        </is>
      </c>
      <c r="C33" s="10" t="inlineStr">
        <is>
          <t>Acrylic “A” monument on turntable</t>
        </is>
      </c>
      <c r="D33" s="9" t="inlineStr">
        <is>
          <t>200 × 200 × 195  ·  Acrylic letter, red LED edge, slow-turn motor</t>
        </is>
      </c>
      <c r="E33" s="8" t="inlineStr">
        <is>
          <t>nos</t>
        </is>
      </c>
      <c r="F33" s="8" t="n">
        <v>1</v>
      </c>
      <c r="G33" s="11" t="n"/>
      <c r="H33" s="12">
        <f>F33*G33</f>
        <v/>
      </c>
      <c r="I33" s="9" t="inlineStr">
        <is>
          <t>Counter top, right (product 17)</t>
        </is>
      </c>
    </row>
    <row r="34">
      <c r="A34" s="6" t="inlineStr">
        <is>
          <t>RAW-MATERIAL ROUTE (ALTERNATIVE TO THE PARTS ABOVE, NOT IN THE TOTAL)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8" t="n">
        <v>25</v>
      </c>
      <c r="B35" s="9" t="inlineStr">
        <is>
          <t>M1</t>
        </is>
      </c>
      <c r="C35" s="10" t="inlineStr">
        <is>
          <t>Matte white ACP 4 mm</t>
        </is>
      </c>
      <c r="D35" s="9" t="inlineStr">
        <is>
          <t>1220 × 2440 sheets  (9.91 m² net, 12% wastage)</t>
        </is>
      </c>
      <c r="E35" s="8" t="inlineStr">
        <is>
          <t>sheet</t>
        </is>
      </c>
      <c r="F35" s="8" t="n">
        <v>4</v>
      </c>
      <c r="G35" s="11" t="n"/>
      <c r="H35" s="12">
        <f>F35*G35</f>
        <v/>
      </c>
      <c r="I35" s="9" t="inlineStr">
        <is>
          <t>Cut + fold or route-and-bond</t>
        </is>
      </c>
    </row>
    <row r="36">
      <c r="A36" s="8" t="n">
        <v>26</v>
      </c>
      <c r="B36" s="9" t="inlineStr">
        <is>
          <t>M2</t>
        </is>
      </c>
      <c r="C36" s="10" t="inlineStr">
        <is>
          <t>Brushed silver ACP 4 mm</t>
        </is>
      </c>
      <c r="D36" s="9" t="inlineStr">
        <is>
          <t>1220 × 2440 sheets  (5.32 m² net, 12% wastage)</t>
        </is>
      </c>
      <c r="E36" s="8" t="inlineStr">
        <is>
          <t>sheet</t>
        </is>
      </c>
      <c r="F36" s="8" t="n">
        <v>3</v>
      </c>
      <c r="G36" s="11" t="n"/>
      <c r="H36" s="12">
        <f>F36*G36</f>
        <v/>
      </c>
      <c r="I36" s="9" t="inlineStr"/>
    </row>
    <row r="37">
      <c r="A37" s="8" t="n">
        <v>27</v>
      </c>
      <c r="B37" s="9" t="inlineStr">
        <is>
          <t>M3</t>
        </is>
      </c>
      <c r="C37" s="10" t="inlineStr">
        <is>
          <t>MS square tube 40×40×2</t>
        </is>
      </c>
      <c r="D37" s="9" t="inlineStr">
        <is>
          <t>plinth frame + tower frame (incl. 25×25 box)</t>
        </is>
      </c>
      <c r="E37" s="8" t="inlineStr">
        <is>
          <t>m</t>
        </is>
      </c>
      <c r="F37" s="8" t="n">
        <v>22</v>
      </c>
      <c r="G37" s="11" t="n"/>
      <c r="H37" s="12">
        <f>F37*G37</f>
        <v/>
      </c>
      <c r="I37" s="9" t="inlineStr">
        <is>
          <t>Powder-coat graphite</t>
        </is>
      </c>
    </row>
    <row r="38">
      <c r="A38" s="8" t="n">
        <v>28</v>
      </c>
      <c r="B38" s="9" t="inlineStr">
        <is>
          <t>M6</t>
        </is>
      </c>
      <c r="C38" s="10" t="inlineStr">
        <is>
          <t>Plywood 18 mm BWP / MR</t>
        </is>
      </c>
      <c r="D38" s="9" t="inlineStr">
        <is>
          <t>1220 × 2440 sheets (estimate)</t>
        </is>
      </c>
      <c r="E38" s="8" t="inlineStr">
        <is>
          <t>sheet</t>
        </is>
      </c>
      <c r="F38" s="8" t="n">
        <v>6</v>
      </c>
      <c r="G38" s="11" t="n"/>
      <c r="H38" s="12">
        <f>F38*G38</f>
        <v/>
      </c>
      <c r="I38" s="9" t="inlineStr">
        <is>
          <t>Hidden carcass</t>
        </is>
      </c>
    </row>
    <row r="39">
      <c r="A39" s="8" t="n">
        <v>29</v>
      </c>
      <c r="B39" s="9" t="inlineStr">
        <is>
          <t>M5</t>
        </is>
      </c>
      <c r="C39" s="10" t="inlineStr">
        <is>
          <t>Backlit film print + opal acrylic</t>
        </is>
      </c>
      <c r="D39" s="9" t="inlineStr">
        <is>
          <t>labels + logo plate</t>
        </is>
      </c>
      <c r="E39" s="8" t="inlineStr">
        <is>
          <t>m²</t>
        </is>
      </c>
      <c r="F39" s="8" t="n">
        <v>0.75</v>
      </c>
      <c r="G39" s="11" t="n"/>
      <c r="H39" s="12">
        <f>F39*G39</f>
        <v/>
      </c>
      <c r="I39" s="9" t="inlineStr"/>
    </row>
    <row r="40">
      <c r="A40" s="6" t="inlineStr">
        <is>
          <t>SERVICES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8" t="n">
        <v>30</v>
      </c>
      <c r="B41" s="9" t="inlineStr">
        <is>
          <t>L1</t>
        </is>
      </c>
      <c r="C41" s="10" t="inlineStr">
        <is>
          <t>Fabrication + assembly labour</t>
        </is>
      </c>
      <c r="D41" s="9" t="inlineStr">
        <is>
          <t>workshop</t>
        </is>
      </c>
      <c r="E41" s="8" t="inlineStr">
        <is>
          <t>lot</t>
        </is>
      </c>
      <c r="F41" s="8" t="n">
        <v>1</v>
      </c>
      <c r="G41" s="11" t="n"/>
      <c r="H41" s="12">
        <f>F41*G41</f>
        <v/>
      </c>
      <c r="I41" s="9" t="inlineStr"/>
    </row>
    <row r="42">
      <c r="A42" s="8" t="n">
        <v>31</v>
      </c>
      <c r="B42" s="9" t="inlineStr">
        <is>
          <t>L2</t>
        </is>
      </c>
      <c r="C42" s="10" t="inlineStr">
        <is>
          <t>Transport + installation at site</t>
        </is>
      </c>
      <c r="D42" s="9" t="inlineStr">
        <is>
          <t>incl. levelling and commissioning</t>
        </is>
      </c>
      <c r="E42" s="8" t="inlineStr">
        <is>
          <t>lot</t>
        </is>
      </c>
      <c r="F42" s="8" t="n">
        <v>1</v>
      </c>
      <c r="G42" s="11" t="n"/>
      <c r="H42" s="12">
        <f>F42*G42</f>
        <v/>
      </c>
      <c r="I42" s="9" t="inlineStr"/>
    </row>
    <row r="43">
      <c r="A43" s="8" t="n">
        <v>32</v>
      </c>
      <c r="B43" s="9" t="inlineStr">
        <is>
          <t>L3</t>
        </is>
      </c>
      <c r="C43" s="10" t="inlineStr">
        <is>
          <t>Kiosk software set-up</t>
        </is>
      </c>
      <c r="D43" s="9" t="inlineStr">
        <is>
          <t>Chrome kiosk mode, auto-start, button mapping</t>
        </is>
      </c>
      <c r="E43" s="8" t="inlineStr">
        <is>
          <t>lot</t>
        </is>
      </c>
      <c r="F43" s="8" t="n">
        <v>1</v>
      </c>
      <c r="G43" s="11" t="n"/>
      <c r="H43" s="12">
        <f>F43*G43</f>
        <v/>
      </c>
      <c r="I43" s="9" t="inlineStr">
        <is>
          <t>kiosk.html supplied</t>
        </is>
      </c>
    </row>
    <row r="45">
      <c r="G45" s="13" t="inlineStr">
        <is>
          <t>Sub-total</t>
        </is>
      </c>
      <c r="H45" s="14">
        <f>SUM(H6:H33)+SUM(H41:H43)</f>
        <v/>
      </c>
    </row>
    <row r="46">
      <c r="F46" s="15" t="n">
        <v>18</v>
      </c>
      <c r="G46" s="16" t="inlineStr">
        <is>
          <t>GST %</t>
        </is>
      </c>
      <c r="H46" s="17" t="n"/>
    </row>
    <row r="47">
      <c r="G47" s="16" t="inlineStr">
        <is>
          <t>GST</t>
        </is>
      </c>
      <c r="H47" s="17">
        <f>H45*F46/100</f>
        <v/>
      </c>
    </row>
    <row r="48">
      <c r="G48" s="18" t="inlineStr">
        <is>
          <t>Grand total</t>
        </is>
      </c>
      <c r="H48" s="19">
        <f>H45+H47</f>
        <v/>
      </c>
    </row>
    <row r="49">
      <c r="G49" s="3" t="inlineStr">
        <is>
          <t>Alt. sub-total (raw-material route + services)</t>
        </is>
      </c>
      <c r="H49" s="20">
        <f>SUM(H35:H39)+SUM(H41:H43)</f>
        <v/>
      </c>
    </row>
    <row r="51">
      <c r="A51" s="21" t="inlineStr">
        <is>
          <t>The parts list and the raw-material route describe the same counter. Price one of them; only the parts list + services feeds the grand total.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0" customWidth="1" min="4" max="4"/>
    <col width="11" customWidth="1" min="5" max="5"/>
    <col width="100" customWidth="1" min="6" max="6"/>
  </cols>
  <sheetData>
    <row r="1">
      <c r="A1" s="1" t="inlineStr">
        <is>
          <t>ArtViSiON</t>
        </is>
      </c>
    </row>
    <row r="2">
      <c r="A2" s="2" t="inlineStr">
        <is>
          <t>Bay schedule</t>
        </is>
      </c>
    </row>
    <row r="3">
      <c r="A3" s="3" t="inlineStr">
        <is>
          <t>Which division and which showroom products live in which bay</t>
        </is>
      </c>
    </row>
    <row r="5" ht="26" customHeight="1">
      <c r="A5" s="4" t="inlineStr">
        <is>
          <t>Bay</t>
        </is>
      </c>
      <c r="B5" s="5" t="inlineStr">
        <is>
          <t>Division</t>
        </is>
      </c>
      <c r="C5" s="5" t="inlineStr">
        <is>
          <t>Width (mm)</t>
        </is>
      </c>
      <c r="D5" s="5" t="inlineStr">
        <is>
          <t>Services</t>
        </is>
      </c>
      <c r="E5" s="4" t="inlineStr">
        <is>
          <t>Button key</t>
        </is>
      </c>
      <c r="F5" s="4" t="inlineStr">
        <is>
          <t>Products on display</t>
        </is>
      </c>
    </row>
    <row r="6" ht="34" customHeight="1">
      <c r="A6" s="22" t="inlineStr">
        <is>
          <t>A</t>
        </is>
      </c>
      <c r="B6" s="10" t="inlineStr">
        <is>
          <t>ADVERTiSiNG</t>
        </is>
      </c>
      <c r="C6" s="8" t="n">
        <v>440</v>
      </c>
      <c r="D6" s="8" t="n">
        <v>3</v>
      </c>
      <c r="E6" s="8" t="inlineStr">
        <is>
          <t>1</t>
        </is>
      </c>
      <c r="F6" s="9" t="inlineStr">
        <is>
          <t>Banner (Pole / Fabric), Paper Printing Designs, Video Advertisement LED Display</t>
        </is>
      </c>
    </row>
    <row r="7" ht="34" customHeight="1">
      <c r="A7" s="22" t="inlineStr">
        <is>
          <t>B</t>
        </is>
      </c>
      <c r="B7" s="10" t="inlineStr">
        <is>
          <t>BRANDiNG</t>
        </is>
      </c>
      <c r="C7" s="8" t="n">
        <v>440</v>
      </c>
      <c r="D7" s="8" t="n">
        <v>8</v>
      </c>
      <c r="E7" s="8" t="inlineStr">
        <is>
          <t>2</t>
        </is>
      </c>
      <c r="F7" s="9" t="inlineStr">
        <is>
          <t>ACP Cladding Signage, Arch Gate — Matt ACP, Owl Direction Mascot, Round Double-Sided Translite Box, Totem — 360° Pylon, Vehicle Branding Campaign</t>
        </is>
      </c>
    </row>
    <row r="8" ht="34" customHeight="1">
      <c r="A8" s="22" t="inlineStr">
        <is>
          <t>C</t>
        </is>
      </c>
      <c r="B8" s="10" t="inlineStr">
        <is>
          <t>CREATiVE</t>
        </is>
      </c>
      <c r="C8" s="8" t="n">
        <v>520</v>
      </c>
      <c r="D8" s="8" t="n">
        <v>5</v>
      </c>
      <c r="E8" s="8" t="inlineStr">
        <is>
          <t>3</t>
        </is>
      </c>
      <c r="F8" s="9" t="inlineStr">
        <is>
          <t>Canvas Vector Art, Wall Art &amp; Canvas</t>
        </is>
      </c>
    </row>
    <row r="9" ht="34" customHeight="1">
      <c r="A9" s="22" t="inlineStr">
        <is>
          <t>D</t>
        </is>
      </c>
      <c r="B9" s="10" t="inlineStr">
        <is>
          <t>DESiGNiNG</t>
        </is>
      </c>
      <c r="C9" s="8" t="n">
        <v>440</v>
      </c>
      <c r="D9" s="8" t="n">
        <v>7</v>
      </c>
      <c r="E9" s="8" t="inlineStr">
        <is>
          <t>4</t>
        </is>
      </c>
      <c r="F9" s="9" t="inlineStr">
        <is>
          <t>Sale &amp; Offer Window Display, Backlight Fabric (SEG Lightbox), Offer Standee (Roll-up), FMCG Product Kiosk, Event / Exhibition Stall &amp; Digital Assets</t>
        </is>
      </c>
    </row>
    <row r="10" ht="34" customHeight="1">
      <c r="A10" s="22" t="inlineStr">
        <is>
          <t>E</t>
        </is>
      </c>
      <c r="B10" s="10" t="inlineStr">
        <is>
          <t>EXECUTiON</t>
        </is>
      </c>
      <c r="C10" s="8" t="n">
        <v>440</v>
      </c>
      <c r="D10" s="8" t="n">
        <v>5</v>
      </c>
      <c r="E10" s="8" t="inlineStr">
        <is>
          <t>5</t>
        </is>
      </c>
      <c r="F10" s="9" t="inlineStr">
        <is>
          <t>Acrylic Letters (3D), CNC &amp; Laser Cutting, Large Format Printer</t>
        </is>
      </c>
    </row>
    <row r="12">
      <c r="A12" s="13" t="inlineStr">
        <is>
          <t>Counter top</t>
        </is>
      </c>
      <c r="F12" t="inlineStr">
        <is>
          <t>Acrylic 3D Letters Monument (rotating “A”), QR standee, card holder, brochure stand</t>
        </is>
      </c>
    </row>
    <row r="13">
      <c r="A13" s="13" t="inlineStr">
        <is>
          <t>Screen only</t>
        </is>
      </c>
      <c r="F13" t="inlineStr">
        <is>
          <t>Canopy Design (too large for a vitrine, shown on the touch screen)</t>
        </is>
      </c>
    </row>
    <row r="15">
      <c r="A15" s="21" t="inlineStr">
        <is>
          <t>All 28 services, 21 products and 11 sectors are on the touch screen; the vitrines show a physical sample of each bay.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4" customWidth="1" min="3" max="3"/>
    <col width="14" customWidth="1" min="4" max="4"/>
  </cols>
  <sheetData>
    <row r="1">
      <c r="A1" s="1" t="inlineStr">
        <is>
          <t>ArtViSiON</t>
        </is>
      </c>
    </row>
    <row r="2">
      <c r="A2" s="2" t="inlineStr">
        <is>
          <t>ACP take-off (flat faces)</t>
        </is>
      </c>
    </row>
    <row r="3">
      <c r="A3" s="3" t="inlineStr">
        <is>
          <t>Areas in m². Wastage 12 %. Sheet size 1220 × 2440 = 2.98 m²</t>
        </is>
      </c>
    </row>
    <row r="5" ht="26" customHeight="1">
      <c r="A5" s="4" t="inlineStr"/>
      <c r="B5" s="5" t="inlineStr">
        <is>
          <t>Colour</t>
        </is>
      </c>
      <c r="C5" s="5" t="inlineStr">
        <is>
          <t>Part</t>
        </is>
      </c>
      <c r="D5" s="5" t="inlineStr">
        <is>
          <t>Area (m²)</t>
        </is>
      </c>
    </row>
    <row r="6">
      <c r="A6" s="23" t="inlineStr"/>
      <c r="B6" s="23" t="inlineStr">
        <is>
          <t>White</t>
        </is>
      </c>
      <c r="C6" s="23" t="inlineStr">
        <is>
          <t>End panels, both faces</t>
        </is>
      </c>
      <c r="D6" s="24" t="n">
        <v>2.184</v>
      </c>
    </row>
    <row r="7">
      <c r="A7" s="23" t="inlineStr"/>
      <c r="B7" s="23" t="inlineStr">
        <is>
          <t>White</t>
        </is>
      </c>
      <c r="C7" s="23" t="inlineStr">
        <is>
          <t>Vitrine floors</t>
        </is>
      </c>
      <c r="D7" s="24" t="n">
        <v>1.026</v>
      </c>
    </row>
    <row r="8">
      <c r="A8" s="23" t="inlineStr"/>
      <c r="B8" s="23" t="inlineStr">
        <is>
          <t>White</t>
        </is>
      </c>
      <c r="C8" s="23" t="inlineStr">
        <is>
          <t>Vitrine back panels</t>
        </is>
      </c>
      <c r="D8" s="24" t="n">
        <v>1.208</v>
      </c>
    </row>
    <row r="9">
      <c r="A9" s="23" t="inlineStr"/>
      <c r="B9" s="23" t="inlineStr">
        <is>
          <t>White</t>
        </is>
      </c>
      <c r="C9" s="23" t="inlineStr">
        <is>
          <t>Rear doors</t>
        </is>
      </c>
      <c r="D9" s="24" t="n">
        <v>1.792</v>
      </c>
    </row>
    <row r="10">
      <c r="A10" s="23" t="inlineStr"/>
      <c r="B10" s="23" t="inlineStr">
        <is>
          <t>White</t>
        </is>
      </c>
      <c r="C10" s="23" t="inlineStr">
        <is>
          <t>Label trays</t>
        </is>
      </c>
      <c r="D10" s="24" t="n">
        <v>0.93</v>
      </c>
    </row>
    <row r="11">
      <c r="A11" s="23" t="inlineStr"/>
      <c r="B11" s="23" t="inlineStr">
        <is>
          <t>White</t>
        </is>
      </c>
      <c r="C11" s="23" t="inlineStr">
        <is>
          <t>Top slab, top + edges</t>
        </is>
      </c>
      <c r="D11" s="24" t="n">
        <v>1.984</v>
      </c>
    </row>
    <row r="12">
      <c r="A12" s="23" t="inlineStr"/>
      <c r="B12" s="23" t="inlineStr">
        <is>
          <t>White</t>
        </is>
      </c>
      <c r="C12" s="23" t="inlineStr">
        <is>
          <t>Tower plate, cap, back</t>
        </is>
      </c>
      <c r="D12" s="24" t="n">
        <v>0.785</v>
      </c>
    </row>
    <row r="13">
      <c r="A13" s="23" t="inlineStr"/>
      <c r="B13" s="23" t="inlineStr">
        <is>
          <t>Silver</t>
        </is>
      </c>
      <c r="C13" s="23" t="inlineStr">
        <is>
          <t>Bay dividers, both faces</t>
        </is>
      </c>
      <c r="D13" s="24" t="n">
        <v>4.368</v>
      </c>
    </row>
    <row r="14">
      <c r="A14" s="23" t="inlineStr"/>
      <c r="B14" s="23" t="inlineStr">
        <is>
          <t>Silver</t>
        </is>
      </c>
      <c r="C14" s="23" t="inlineStr">
        <is>
          <t>Tower screen column</t>
        </is>
      </c>
      <c r="D14" s="24" t="n">
        <v>0.821</v>
      </c>
    </row>
    <row r="15">
      <c r="A15" s="23" t="inlineStr"/>
      <c r="B15" s="23" t="inlineStr">
        <is>
          <t>Silver</t>
        </is>
      </c>
      <c r="C15" s="23" t="inlineStr">
        <is>
          <t>Top under-band, rails</t>
        </is>
      </c>
      <c r="D15" s="24" t="n">
        <v>0.132</v>
      </c>
    </row>
    <row r="17">
      <c r="C17" s="13" t="inlineStr">
        <is>
          <t>White net</t>
        </is>
      </c>
      <c r="D17" s="25">
        <f>SUMIF(B6:B15,"White",D6:D15)</f>
        <v/>
      </c>
    </row>
    <row r="18">
      <c r="C18" s="13" t="inlineStr">
        <is>
          <t>Silver net</t>
        </is>
      </c>
      <c r="D18" s="25">
        <f>SUMIF(B6:B15,"Silver",D6:D15)</f>
        <v/>
      </c>
    </row>
    <row r="19">
      <c r="C19" s="13" t="inlineStr">
        <is>
          <t>Total with 12% wastage</t>
        </is>
      </c>
      <c r="D19" s="25">
        <f>(D17+D18)*1.12</f>
        <v/>
      </c>
    </row>
    <row r="20">
      <c r="C20" s="13" t="inlineStr">
        <is>
          <t>Sheets needed (white / silver)</t>
        </is>
      </c>
      <c r="D20" t="inlineStr">
        <is>
          <t>4 /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" customWidth="1" min="1" max="1"/>
    <col width="130" customWidth="1" min="2" max="2"/>
  </cols>
  <sheetData>
    <row r="1">
      <c r="A1" s="1" t="inlineStr">
        <is>
          <t>ArtViSiON</t>
        </is>
      </c>
    </row>
    <row r="2">
      <c r="A2" s="2" t="inlineStr">
        <is>
          <t>Assumptions to confirm</t>
        </is>
      </c>
    </row>
    <row r="3">
      <c r="A3" s="3" t="inlineStr">
        <is>
          <t>Everything in this pack is a concept-stage assumption until you confirm it</t>
        </is>
      </c>
    </row>
    <row r="5" ht="30" customHeight="1">
      <c r="A5" s="13" t="n">
        <v>1</v>
      </c>
      <c r="B5" s="26" t="inlineStr">
        <is>
          <t>Overall size 2400 × 650 × 1000 mm with the tower to 2000 mm — check it against the reception space, door width and lift.</t>
        </is>
      </c>
    </row>
    <row r="6" ht="30" customHeight="1">
      <c r="A6" s="13" t="n">
        <v>2</v>
      </c>
      <c r="B6" s="26" t="inlineStr">
        <is>
          <t>Bays 440 / 440 / 520 / 440 / 440 mm (A–E) with 20 mm dividers. Bay C is wider because it is the centre of the tower.</t>
        </is>
      </c>
    </row>
    <row r="7" ht="30" customHeight="1">
      <c r="A7" s="13" t="n">
        <v>3</v>
      </c>
      <c r="B7" s="26" t="inlineStr">
        <is>
          <t>Screen: 32" portrait commercial touch display with outline ≈ 430 × 740 mm. Cut-outs must be taken from the real unit.</t>
        </is>
      </c>
    </row>
    <row r="8" ht="30" customHeight="1">
      <c r="A8" s="13" t="n">
        <v>4</v>
      </c>
      <c r="B8" s="26" t="inlineStr">
        <is>
          <t>Materials and thicknesses (4 mm ACP, 8 mm glass, 18 mm ply) are typical values — swap to your vendor’s standard stock.</t>
        </is>
      </c>
    </row>
    <row r="9" ht="30" customHeight="1">
      <c r="A9" s="13" t="n">
        <v>5</v>
      </c>
      <c r="B9" s="26" t="inlineStr">
        <is>
          <t>The sample pieces inside the vitrines are illustrative. The studio supplies the real models and prints.</t>
        </is>
      </c>
    </row>
    <row r="10" ht="30" customHeight="1">
      <c r="A10" s="13" t="n">
        <v>6</v>
      </c>
      <c r="B10" s="26" t="inlineStr">
        <is>
          <t>If site access is tight, split the body at dividers into modules (A + B | C | D + E); the tower stays as one piece.</t>
        </is>
      </c>
    </row>
    <row r="11" ht="30" customHeight="1">
      <c r="A11" s="13" t="n">
        <v>7</v>
      </c>
      <c r="B11" s="26" t="inlineStr">
        <is>
          <t>LED colour 4000 K neutral white; brand red is used only as a small accent (buttons, status light, “A” monument).</t>
        </is>
      </c>
    </row>
    <row r="12" ht="30" customHeight="1">
      <c r="A12" s="13" t="n">
        <v>8</v>
      </c>
      <c r="B12" s="26" t="inlineStr">
        <is>
          <t>All quantities are indicative take-offs (flat faces only, 12 % wastage on ACP). Rates are left blank in the BOQ.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2026-09-30T20:13:43Z</dcterms:created>
  <dcterms:modified xmlns:dcterms="http://purl.org/dc/terms/" xmlns:xsi="http://www.w3.org/2001/XMLSchema-instance" xsi:type="dcterms:W3CDTF">2026-09-30T20:13:43Z</dcterms:modified>
</cp:coreProperties>
</file>